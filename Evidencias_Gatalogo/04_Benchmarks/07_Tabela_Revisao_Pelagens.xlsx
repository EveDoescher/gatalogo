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409fde3bc445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sao" sheetId="1" r:id="Ra064e2eae88a4b19"/>
    <x:sheet xmlns:r="http://schemas.openxmlformats.org/officeDocument/2006/relationships" name="Resumo" sheetId="2" r:id="Rd2049e65dc9142bc"/>
    <x:sheet xmlns:r="http://schemas.openxmlformats.org/officeDocument/2006/relationships" name="Listas" sheetId="3" r:id="Rb8e2b680daf042f6"/>
  </x:sheets>
</x:workbook>
</file>

<file path=xl/sharedStrings.xml><?xml version="1.0" encoding="utf-8"?>
<x:sst xmlns:x="http://schemas.openxmlformats.org/spreadsheetml/2006/main">
  <x:si>
    <x:t xml:space="preserve">Revisão humana — fotos autorais de gatos</x:t>
  </x:si>
  <x:si>
    <x:t xml:space="preserve">Preencha as colunas em amarelo após revisar a foto. Mantenha fotos do mesmo grupo de captura no mesmo split.</x:t>
  </x:si>
  <x:si>
    <x:t xml:space="preserve">ID da foto</x:t>
  </x:si>
  <x:si>
    <x:t xml:space="preserve">Arquivo</x:t>
  </x:si>
  <x:si>
    <x:t xml:space="preserve">Data da foto</x:t>
  </x:si>
  <x:si>
    <x:t xml:space="preserve">Split</x:t>
  </x:si>
  <x:si>
    <x:t xml:space="preserve">Grupo de captura</x:t>
  </x:si>
  <x:si>
    <x:t xml:space="preserve">Gato / apelido</x:t>
  </x:si>
  <x:si>
    <x:t xml:space="preserve">Filhote?</x:t>
  </x:si>
  <x:si>
    <x:t xml:space="preserve">Cor principal</x:t>
  </x:si>
  <x:si>
    <x:t xml:space="preserve">Outras cores visíveis</x:t>
  </x:si>
  <x:si>
    <x:t xml:space="preserve">Padrão</x:t>
  </x:si>
  <x:si>
    <x:t xml:space="preserve">Máscara correta?</x:t>
  </x:si>
  <x:si>
    <x:t xml:space="preserve">Status da revisão</x:t>
  </x:si>
  <x:si>
    <x:t xml:space="preserve">Observações</x:t>
  </x:si>
  <x:si>
    <x:t xml:space="preserve">own-img-20240907-203726</x:t>
  </x:si>
  <x:si>
    <x:t xml:space="preserve">data/own-cats/images/IMG_20240907_203726.jpg</x:t>
  </x:si>
  <x:si>
    <x:t xml:space="preserve">calibration</x:t>
  </x:si>
  <x:si>
    <x:t xml:space="preserve">capture-cal-02</x:t>
  </x:si>
  <x:si>
    <x:t xml:space="preserve">Juno</x:t>
  </x:si>
  <x:si>
    <x:t xml:space="preserve">Não</x:t>
  </x:si>
  <x:si>
    <x:t xml:space="preserve">Branco</x:t>
  </x:si>
  <x:si>
    <x:t xml:space="preserve">Preto</x:t>
  </x:si>
  <x:si>
    <x:t xml:space="preserve">Bicolor</x:t>
  </x:si>
  <x:si>
    <x:t xml:space="preserve">own-img-20240907-203728</x:t>
  </x:si>
  <x:si>
    <x:t xml:space="preserve">data/own-cats/images/IMG_20240907_203728.jpg</x:t>
  </x:si>
  <x:si>
    <x:t xml:space="preserve">own-img-20241116-205142</x:t>
  </x:si>
  <x:si>
    <x:t xml:space="preserve">data/own-cats/images/IMG_20241116_205142.jpg</x:t>
  </x:si>
  <x:si>
    <x:t xml:space="preserve">capture-cal-15</x:t>
  </x:si>
  <x:si>
    <x:t xml:space="preserve">Gato SN1</x:t>
  </x:si>
  <x:si>
    <x:t xml:space="preserve">Sim</x:t>
  </x:si>
  <x:si>
    <x:t xml:space="preserve">Cinza e amarelo</x:t>
  </x:si>
  <x:si>
    <x:t xml:space="preserve">Tricolor</x:t>
  </x:si>
  <x:si>
    <x:t xml:space="preserve">own-img-20241119-194803</x:t>
  </x:si>
  <x:si>
    <x:t xml:space="preserve">data/own-cats/images/IMG_20241119_194803.jpg</x:t>
  </x:si>
  <x:si>
    <x:t xml:space="preserve">capture-cal-14</x:t>
  </x:si>
  <x:si>
    <x:t xml:space="preserve">Gato SN2</x:t>
  </x:si>
  <x:si>
    <x:t xml:space="preserve">Laranja</x:t>
  </x:si>
  <x:si>
    <x:t xml:space="preserve">Sólido</x:t>
  </x:si>
  <x:si>
    <x:t xml:space="preserve">own-img-20241127-001148</x:t>
  </x:si>
  <x:si>
    <x:t xml:space="preserve">data/own-cats/images/IMG_20241127_001148.jpg</x:t>
  </x:si>
  <x:si>
    <x:t xml:space="preserve">capture-cal-01</x:t>
  </x:si>
  <x:si>
    <x:t xml:space="preserve">Gato SN3</x:t>
  </x:si>
  <x:si>
    <x:t xml:space="preserve">Cinza</x:t>
  </x:si>
  <x:si>
    <x:t xml:space="preserve">own-img-20241205-090213</x:t>
  </x:si>
  <x:si>
    <x:t xml:space="preserve">data/own-cats/images/IMG_20241205_090213.jpg</x:t>
  </x:si>
  <x:si>
    <x:t xml:space="preserve">capture-cal-12</x:t>
  </x:si>
  <x:si>
    <x:t xml:space="preserve">own-img-20241211-204746</x:t>
  </x:si>
  <x:si>
    <x:t xml:space="preserve">data/own-cats/images/IMG_20241211_204746.jpg</x:t>
  </x:si>
  <x:si>
    <x:t xml:space="preserve">evaluation</x:t>
  </x:si>
  <x:si>
    <x:t xml:space="preserve">capture-eva-04</x:t>
  </x:si>
  <x:si>
    <x:t xml:space="preserve">Pendente</x:t>
  </x:si>
  <x:si>
    <x:t xml:space="preserve">own-img-20241211-205050</x:t>
  </x:si>
  <x:si>
    <x:t xml:space="preserve">data/own-cats/images/IMG_20241211_205050.jpg</x:t>
  </x:si>
  <x:si>
    <x:t xml:space="preserve">own-img-20241229-011433</x:t>
  </x:si>
  <x:si>
    <x:t xml:space="preserve">data/own-cats/images/IMG_20241229_011433.jpg</x:t>
  </x:si>
  <x:si>
    <x:t xml:space="preserve">capture-cal-10</x:t>
  </x:si>
  <x:si>
    <x:t xml:space="preserve">Maju</x:t>
  </x:si>
  <x:si>
    <x:t xml:space="preserve">own-img-20250127-230721</x:t>
  </x:si>
  <x:si>
    <x:t xml:space="preserve">data/own-cats/images/IMG_20250127_230721.jpg</x:t>
  </x:si>
  <x:si>
    <x:t xml:space="preserve">capture-eva-01</x:t>
  </x:si>
  <x:si>
    <x:t xml:space="preserve">own-img-20250129-001053</x:t>
  </x:si>
  <x:si>
    <x:t xml:space="preserve">data/own-cats/images/IMG_20250129_001053.jpg</x:t>
  </x:si>
  <x:si>
    <x:t xml:space="preserve">capture-eva-07</x:t>
  </x:si>
  <x:si>
    <x:t xml:space="preserve">own-img-20250207-185323</x:t>
  </x:si>
  <x:si>
    <x:t xml:space="preserve">data/own-cats/images/IMG_20250207_185323.jpg</x:t>
  </x:si>
  <x:si>
    <x:t xml:space="preserve">capture-cal-13</x:t>
  </x:si>
  <x:si>
    <x:t xml:space="preserve">Shaco</x:t>
  </x:si>
  <x:si>
    <x:t xml:space="preserve">own-img-20250503-235233</x:t>
  </x:si>
  <x:si>
    <x:t xml:space="preserve">data/own-cats/images/IMG_20250503_235233.jpg</x:t>
  </x:si>
  <x:si>
    <x:t xml:space="preserve">capture-eva-05</x:t>
  </x:si>
  <x:si>
    <x:t xml:space="preserve">own-img-20250504-133623</x:t>
  </x:si>
  <x:si>
    <x:t xml:space="preserve">data/own-cats/images/IMG_20250504_133623.jpg</x:t>
  </x:si>
  <x:si>
    <x:t xml:space="preserve">capture-eva-03</x:t>
  </x:si>
  <x:si>
    <x:t xml:space="preserve">own-img-20250504-133627</x:t>
  </x:si>
  <x:si>
    <x:t xml:space="preserve">data/own-cats/images/IMG_20250504_133627.jpg</x:t>
  </x:si>
  <x:si>
    <x:t xml:space="preserve">own-img-20250524-130539</x:t>
  </x:si>
  <x:si>
    <x:t xml:space="preserve">data/own-cats/images/IMG_20250524_130539.jpg</x:t>
  </x:si>
  <x:si>
    <x:t xml:space="preserve">capture-cal-04</x:t>
  </x:si>
  <x:si>
    <x:t xml:space="preserve">own-img-20250610-212249</x:t>
  </x:si>
  <x:si>
    <x:t xml:space="preserve">data/own-cats/images/IMG_20250610_212249.jpg</x:t>
  </x:si>
  <x:si>
    <x:t xml:space="preserve">capture-eva-06</x:t>
  </x:si>
  <x:si>
    <x:t xml:space="preserve">own-img-20251105-150034</x:t>
  </x:si>
  <x:si>
    <x:t xml:space="preserve">data/own-cats/images/IMG_20251105_150034.jpg</x:t>
  </x:si>
  <x:si>
    <x:t xml:space="preserve">capture-cal-06</x:t>
  </x:si>
  <x:si>
    <x:t xml:space="preserve">Haerin</x:t>
  </x:si>
  <x:si>
    <x:t xml:space="preserve">Marrom e Preto</x:t>
  </x:si>
  <x:si>
    <x:t xml:space="preserve">own-img-20251108-225110</x:t>
  </x:si>
  <x:si>
    <x:t xml:space="preserve">data/own-cats/images/IMG_20251108_225110.jpg</x:t>
  </x:si>
  <x:si>
    <x:t xml:space="preserve">capture-cal-18</x:t>
  </x:si>
  <x:si>
    <x:t xml:space="preserve"> Maju</x:t>
  </x:si>
  <x:si>
    <x:t xml:space="preserve">own-img-20251126-152405</x:t>
  </x:si>
  <x:si>
    <x:t xml:space="preserve">data/own-cats/images/IMG_20251126_152405.jpg</x:t>
  </x:si>
  <x:si>
    <x:t xml:space="preserve">capture-cal-11</x:t>
  </x:si>
  <x:si>
    <x:t xml:space="preserve">own-img-20260209-143543</x:t>
  </x:si>
  <x:si>
    <x:t xml:space="preserve">data/own-cats/images/IMG_20260209_143543.jpg</x:t>
  </x:si>
  <x:si>
    <x:t xml:space="preserve">capture-cal-17</x:t>
  </x:si>
  <x:si>
    <x:t xml:space="preserve">own-img-20260213-162801</x:t>
  </x:si>
  <x:si>
    <x:t xml:space="preserve">data/own-cats/images/IMG_20260213_162801.jpg</x:t>
  </x:si>
  <x:si>
    <x:t xml:space="preserve">capture-cal-09</x:t>
  </x:si>
  <x:si>
    <x:t xml:space="preserve">own-img-20260321-181432</x:t>
  </x:si>
  <x:si>
    <x:t xml:space="preserve">data/own-cats/images/IMG_20260321_181432.jpg</x:t>
  </x:si>
  <x:si>
    <x:t xml:space="preserve">capture-cal-16</x:t>
  </x:si>
  <x:si>
    <x:t xml:space="preserve">own-img-20260531-183420</x:t>
  </x:si>
  <x:si>
    <x:t xml:space="preserve">data/own-cats/images/IMG_20260531_183420.jpg</x:t>
  </x:si>
  <x:si>
    <x:t xml:space="preserve">capture-cal-05</x:t>
  </x:si>
  <x:si>
    <x:t xml:space="preserve">own-img-20260703-113924</x:t>
  </x:si>
  <x:si>
    <x:t xml:space="preserve">data/own-cats/images/IMG_20260703_113924.jpg</x:t>
  </x:si>
  <x:si>
    <x:t xml:space="preserve">capture-cal-08</x:t>
  </x:si>
  <x:si>
    <x:t xml:space="preserve">own-img-20260708-160203</x:t>
  </x:si>
  <x:si>
    <x:t xml:space="preserve">data/own-cats/images/IMG_20260708_160203.jpg</x:t>
  </x:si>
  <x:si>
    <x:t xml:space="preserve">capture-cal-03</x:t>
  </x:si>
  <x:si>
    <x:t xml:space="preserve">own-img-20260708-160219</x:t>
  </x:si>
  <x:si>
    <x:t xml:space="preserve">data/own-cats/images/IMG_20260708_160219.jpg</x:t>
  </x:si>
  <x:si>
    <x:t xml:space="preserve">own-img-20260715-231342</x:t>
  </x:si>
  <x:si>
    <x:t xml:space="preserve">data/own-cats/images/IMG_20260715_231342.jpg</x:t>
  </x:si>
  <x:si>
    <x:t xml:space="preserve">capture-cal-07</x:t>
  </x:si>
  <x:si>
    <x:t xml:space="preserve">own-img-20260731-115831</x:t>
  </x:si>
  <x:si>
    <x:t xml:space="preserve">data/own-cats/images/IMG_20260731_115831.jpg</x:t>
  </x:si>
  <x:si>
    <x:t xml:space="preserve">capture-eva-02</x:t>
  </x:si>
  <x:si>
    <x:t xml:space="preserve">own-img-20260731-115848</x:t>
  </x:si>
  <x:si>
    <x:t xml:space="preserve">data/own-cats/images/IMG_20260731_115848.jpg</x:t>
  </x:si>
  <x:si>
    <x:t xml:space="preserve">Resumo — benchmark de fotos autorais</x:t>
  </x:si>
  <x:si>
    <x:t xml:space="preserve">Fotos</x:t>
  </x:si>
  <x:si>
    <x:t xml:space="preserve">Calibração</x:t>
  </x:si>
  <x:si>
    <x:t xml:space="preserve">Avaliação final</x:t>
  </x:si>
  <x:si>
    <x:t xml:space="preserve">Total</x:t>
  </x:si>
  <x:si>
    <x:t xml:space="preserve">Quantidade</x:t>
  </x:si>
  <x:si>
    <x:t xml:space="preserve">Revisão</x:t>
  </x:si>
  <x:si>
    <x:t xml:space="preserve">Concluída</x:t>
  </x:si>
  <x:si>
    <x:t xml:space="preserve">Use as 20 fotos de calibração apenas para ajustar limites e escolha de modelos. Mantenha as 10 fotos de avaliação final sem consulta durante os ajustes; elas formam a comparação imparcial.</x:t>
  </x:si>
  <x:si>
    <x:t xml:space="preserve">Filhote</x:t>
  </x:si>
  <x:si>
    <x:t xml:space="preserve">Cor</x:t>
  </x:si>
  <x:si>
    <x:t xml:space="preserve">Status</x:t>
  </x:si>
  <x:si>
    <x:t xml:space="preserve">Concluído</x:t>
  </x:si>
  <x:si>
    <x:t xml:space="preserve">Não sei</x:t>
  </x:si>
  <x:si>
    <x:t xml:space="preserve">Excluir</x:t>
  </x:si>
  <x:si>
    <x:t xml:space="preserve">Rajado</x:t>
  </x:si>
  <x:si>
    <x:t xml:space="preserve">Marrom</x:t>
  </x:si>
  <x:si>
    <x:t xml:space="preserve">Tuxedo</x:t>
  </x:si>
  <x:si>
    <x:t xml:space="preserve">Creme</x:t>
  </x:si>
  <x:si>
    <x:t xml:space="preserve">Escaminha</x:t>
  </x:si>
  <x:si>
    <x:t xml:space="preserve">Outro</x:t>
  </x:si>
  <x:si>
    <x:t xml:space="preserve">Colorpoint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</x:si>
</x:sst>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165" formatCode="yyyy\-mm\-dd\ hh:mm"/>
  </x:numFmts>
  <x:fonts count="11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name val="Calibri"/>
    </x:font>
    <x:font>
      <x:b/>
      <x:sz val="16"/>
      <x:color rgb="FFFFFFFF"/>
      <x:name val="Calibri"/>
    </x:font>
    <x:font>
      <x:i/>
      <x:sz val="11"/>
      <x:color rgb="FF17324D"/>
      <x:name val="Calibri"/>
    </x:font>
    <x:font>
      <x:b/>
      <x:sz val="11"/>
      <x:color rgb="FFFFFFFF"/>
      <x:name val="Calibri"/>
    </x:font>
    <x:font>
      <x:sz val="11"/>
      <x:color rgb="FF334E68"/>
      <x:name val="Calibri"/>
    </x:font>
    <x:font>
      <x:sz val="11"/>
      <x:name val="Calibri"/>
    </x:font>
    <x:font>
      <x:b/>
      <x:sz val="14"/>
      <x:color rgb="FF17324D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EF6FF"/>
      </x:patternFill>
    </x:fill>
    <x:fill>
      <x:patternFill patternType="solid">
        <x:fgColor rgb="FF0F766E"/>
      </x:patternFill>
    </x:fill>
    <x:fill>
      <x:patternFill patternType="solid">
        <x:fgColor rgb="FFF4F7FA"/>
      </x:patternFill>
    </x:fill>
    <x:fill>
      <x:patternFill patternType="solid">
        <x:fgColor rgb="FFFFF7D6"/>
      </x:patternFill>
    </x:fill>
    <x:fill>
      <x:patternFill patternType="solid">
        <x:fgColor rgb="FFE6FFFB"/>
      </x:patternFill>
    </x:fill>
  </x:fills>
  <x:borders count="11">
    <x:border diagonalUp="0" diagonalDown="0"/>
    <x:border diagonalUp="0" diagonalDown="0">
      <x:left style="thin">
        <x:color rgb="FFD9E2EC"/>
      </x:left>
      <x:top style="thin">
        <x:color rgb="FFD9E2EC"/>
      </x:top>
      <x:bottom style="thin">
        <x:color rgb="FFD9E2EC"/>
      </x:bottom>
    </x:border>
    <x:border diagonalUp="0" diagonalDown="0">
      <x:top style="thin">
        <x:color rgb="FFD9E2EC"/>
      </x:top>
      <x:bottom style="thin">
        <x:color rgb="FFD9E2EC"/>
      </x:bottom>
    </x:border>
    <x:border diagonalUp="0" diagonalDown="0">
      <x:right style="thin">
        <x:color rgb="FFD9E2EC"/>
      </x:right>
      <x:top style="thin">
        <x:color rgb="FFD9E2EC"/>
      </x:top>
      <x:bottom style="thin">
        <x:color rgb="FFD9E2EC"/>
      </x:bottom>
    </x:border>
    <x:border diagonalUp="0" diagonalDown="0">
      <x:right style="thin">
        <x:color rgb="FFD9E2EC"/>
      </x:right>
      <x:bottom style="thin">
        <x:color rgb="FFD9E2EC"/>
      </x:bottom>
    </x:border>
    <x:border diagonalUp="0" diagonalDown="0">
      <x:left style="thin">
        <x:color rgb="FFD9E2EC"/>
      </x:left>
      <x:right style="thin">
        <x:color rgb="FFD9E2EC"/>
      </x:right>
      <x:bottom style="thin">
        <x:color rgb="FFD9E2EC"/>
      </x:bottom>
    </x:border>
    <x:border diagonalUp="0" diagonalDown="0">
      <x:left style="thin">
        <x:color rgb="FFD9E2EC"/>
      </x:left>
      <x:bottom style="thin">
        <x:color rgb="FFD9E2EC"/>
      </x:bottom>
    </x:border>
    <x:border diagonalUp="0" diagonalDown="0"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 diagonalUp="0" diagonalDown="0">
      <x:right style="thin">
        <x:color rgb="FFD9E2EC"/>
      </x:right>
      <x:top style="thin">
        <x:color rgb="FFD9E2EC"/>
      </x:top>
    </x:border>
    <x:border diagonalUp="0" diagonalDown="0">
      <x:left style="thin">
        <x:color rgb="FFD9E2EC"/>
      </x:left>
      <x:right style="thin">
        <x:color rgb="FFD9E2EC"/>
      </x:right>
      <x:top style="thin">
        <x:color rgb="FFD9E2EC"/>
      </x:top>
    </x:border>
    <x:border diagonalUp="0" diagonalDown="0">
      <x:left style="thin">
        <x:color rgb="FFD9E2EC"/>
      </x:left>
      <x:top style="thin">
        <x:color rgb="FFD9E2EC"/>
      </x:top>
    </x:border>
  </x:borders>
  <x:cellStyleXfs count="21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4" fontId="4" fillId="0" borderId="0" applyFont="1" applyBorder="1" applyAlignment="1" applyProtection="1">
      <x:alignment horizontal="general" vertical="bottom" wrapText="0" shrinkToFit="0"/>
      <x:protection locked="1" hidden="0"/>
    </x:xf>
  </x:cellStyleXfs>
  <x:cellXfs count="43">
    <x:xf numFmtId="164" fontId="0" fillId="0" borderId="0" xfId="0" applyFont="0" applyBorder="0" applyAlignment="0">
      <x:alignment horizontal="general" vertical="bottom" wrapText="0"/>
    </x:xf>
    <x:xf numFmtId="164" fontId="5" fillId="2" borderId="0" xfId="20" applyFont="1" applyBorder="1" applyAlignment="1">
      <x:alignment horizontal="center" vertical="center" wrapText="0"/>
    </x:xf>
    <x:xf numFmtId="164" fontId="6" fillId="3" borderId="0" xfId="20" applyFont="1" applyBorder="1" applyAlignment="1">
      <x:alignment horizontal="general" vertical="center" wrapText="1"/>
    </x:xf>
    <x:xf numFmtId="164" fontId="7" fillId="4" borderId="1" xfId="20" applyFont="1" applyBorder="1" applyAlignment="1">
      <x:alignment horizontal="center" vertical="center" wrapText="1"/>
    </x:xf>
    <x:xf numFmtId="164" fontId="7" fillId="4" borderId="2" xfId="20" applyFont="1" applyBorder="1" applyAlignment="1">
      <x:alignment horizontal="center" vertical="center" wrapText="1"/>
    </x:xf>
    <x:xf numFmtId="164" fontId="7" fillId="4" borderId="3" xfId="20" applyFont="1" applyBorder="1" applyAlignment="1">
      <x:alignment horizontal="center" vertical="center" wrapText="1"/>
    </x:xf>
    <x:xf numFmtId="164" fontId="8" fillId="0" borderId="4" xfId="20" applyFont="1" applyBorder="1" applyAlignment="1">
      <x:alignment horizontal="general" vertical="center" wrapText="0"/>
    </x:xf>
    <x:xf numFmtId="164" fontId="8" fillId="0" borderId="5" xfId="20" applyFont="1" applyBorder="1" applyAlignment="1">
      <x:alignment horizontal="general" vertical="center" wrapText="0"/>
    </x:xf>
    <x:xf numFmtId="165" fontId="8" fillId="0" borderId="5" xfId="20" applyFont="1" applyBorder="1" applyAlignment="1">
      <x:alignment horizontal="general" vertical="center" wrapText="0"/>
    </x:xf>
    <x:xf numFmtId="164" fontId="8" fillId="5" borderId="5" xfId="20" applyFont="1" applyBorder="1" applyAlignment="1">
      <x:alignment horizontal="general" vertical="center" wrapText="0"/>
    </x:xf>
    <x:xf numFmtId="164" fontId="4" fillId="6" borderId="5" xfId="20" applyFont="1" applyBorder="1" applyAlignment="1">
      <x:alignment horizontal="general" vertical="center" wrapText="0"/>
    </x:xf>
    <x:xf numFmtId="164" fontId="4" fillId="6" borderId="5" xfId="20" applyFont="1" applyBorder="1" applyAlignment="1">
      <x:alignment horizontal="general" vertical="center" wrapText="1"/>
    </x:xf>
    <x:xf numFmtId="164" fontId="4" fillId="6" borderId="6" xfId="20" applyFont="1" applyBorder="1" applyAlignment="1">
      <x:alignment horizontal="general" vertical="center" wrapText="1"/>
    </x:xf>
    <x:xf numFmtId="164" fontId="8" fillId="0" borderId="3" xfId="20" applyFont="1" applyBorder="1" applyAlignment="1">
      <x:alignment horizontal="general" vertical="center" wrapText="0"/>
    </x:xf>
    <x:xf numFmtId="164" fontId="8" fillId="0" borderId="7" xfId="20" applyFont="1" applyBorder="1" applyAlignment="1">
      <x:alignment horizontal="general" vertical="center" wrapText="0"/>
    </x:xf>
    <x:xf numFmtId="165" fontId="8" fillId="0" borderId="7" xfId="20" applyFont="1" applyBorder="1" applyAlignment="1">
      <x:alignment horizontal="general" vertical="center" wrapText="0"/>
    </x:xf>
    <x:xf numFmtId="164" fontId="8" fillId="5" borderId="7" xfId="20" applyFont="1" applyBorder="1" applyAlignment="1">
      <x:alignment horizontal="general" vertical="center" wrapText="0"/>
    </x:xf>
    <x:xf numFmtId="164" fontId="4" fillId="6" borderId="7" xfId="20" applyFont="1" applyBorder="1" applyAlignment="1">
      <x:alignment horizontal="general" vertical="center" wrapText="0"/>
    </x:xf>
    <x:xf numFmtId="164" fontId="4" fillId="6" borderId="7" xfId="20" applyFont="1" applyBorder="1" applyAlignment="1">
      <x:alignment horizontal="general" vertical="center" wrapText="1"/>
    </x:xf>
    <x:xf numFmtId="164" fontId="4" fillId="6" borderId="1" xfId="20" applyFont="1" applyBorder="1" applyAlignment="1">
      <x:alignment horizontal="general" vertical="center" wrapText="1"/>
    </x:xf>
    <x:xf numFmtId="164" fontId="9" fillId="6" borderId="7" xfId="20" applyFont="1" applyBorder="1" applyAlignment="1">
      <x:alignment horizontal="general" vertical="center" wrapText="0"/>
    </x:xf>
    <x:xf numFmtId="164" fontId="8" fillId="0" borderId="8" xfId="20" applyFont="1" applyBorder="1" applyAlignment="1">
      <x:alignment horizontal="general" vertical="center" wrapText="0"/>
    </x:xf>
    <x:xf numFmtId="164" fontId="8" fillId="0" borderId="9" xfId="20" applyFont="1" applyBorder="1" applyAlignment="1">
      <x:alignment horizontal="general" vertical="center" wrapText="0"/>
    </x:xf>
    <x:xf numFmtId="165" fontId="8" fillId="0" borderId="9" xfId="20" applyFont="1" applyBorder="1" applyAlignment="1">
      <x:alignment horizontal="general" vertical="center" wrapText="0"/>
    </x:xf>
    <x:xf numFmtId="164" fontId="8" fillId="5" borderId="9" xfId="20" applyFont="1" applyBorder="1" applyAlignment="1">
      <x:alignment horizontal="general" vertical="center" wrapText="0"/>
    </x:xf>
    <x:xf numFmtId="164" fontId="4" fillId="6" borderId="9" xfId="20" applyFont="1" applyBorder="1" applyAlignment="1">
      <x:alignment horizontal="general" vertical="center" wrapText="0"/>
    </x:xf>
    <x:xf numFmtId="164" fontId="4" fillId="6" borderId="9" xfId="20" applyFont="1" applyBorder="1" applyAlignment="1">
      <x:alignment horizontal="general" vertical="center" wrapText="1"/>
    </x:xf>
    <x:xf numFmtId="164" fontId="4" fillId="6" borderId="10" xfId="20" applyFont="1" applyBorder="1" applyAlignment="1">
      <x:alignment horizontal="general" vertical="center" wrapText="1"/>
    </x:xf>
    <x:xf numFmtId="164" fontId="5" fillId="2" borderId="0" xfId="20" applyFont="1" applyBorder="1" applyAlignment="1">
      <x:alignment horizontal="center" vertical="bottom" wrapText="0"/>
    </x:xf>
    <x:xf numFmtId="164" fontId="7" fillId="4" borderId="0" xfId="20" applyFont="1" applyBorder="1" applyAlignment="1">
      <x:alignment horizontal="center" vertical="bottom" wrapText="0"/>
    </x:xf>
    <x:xf numFmtId="164" fontId="4" fillId="0" borderId="7" xfId="20" applyFont="1" applyBorder="1" applyAlignment="1">
      <x:alignment horizontal="center" vertical="bottom" wrapText="0"/>
    </x:xf>
    <x:xf numFmtId="164" fontId="10" fillId="7" borderId="7" xfId="20" applyFont="1" applyBorder="1" applyAlignment="1">
      <x:alignment horizontal="center" vertical="bottom" wrapText="0"/>
    </x:xf>
    <x:xf numFmtId="164" fontId="10" fillId="6" borderId="7" xfId="20" applyFont="1" applyBorder="1" applyAlignment="1">
      <x:alignment horizontal="center" vertical="bottom" wrapText="0"/>
    </x:xf>
    <x:xf numFmtId="164" fontId="6" fillId="3" borderId="7" xfId="20" applyFont="1" applyBorder="1" applyAlignment="1">
      <x:alignment horizontal="general" vertical="center" wrapText="1"/>
    </x:xf>
    <x:xf numFmtId="164" fontId="7" fillId="2" borderId="4" xfId="20" applyFont="1" applyBorder="1" applyAlignment="0">
      <x:alignment horizontal="general" vertical="bottom" wrapText="0"/>
    </x:xf>
    <x:xf numFmtId="164" fontId="7" fillId="2" borderId="5" xfId="20" applyFont="1" applyBorder="1" applyAlignment="0">
      <x:alignment horizontal="general" vertical="bottom" wrapText="0"/>
    </x:xf>
    <x:xf numFmtId="164" fontId="7" fillId="2" borderId="6" xfId="20" applyFont="1" applyBorder="1" applyAlignment="0">
      <x:alignment horizontal="general" vertical="bottom" wrapText="0"/>
    </x:xf>
    <x:xf numFmtId="164" fontId="4" fillId="0" borderId="3" xfId="20" applyFont="1" applyBorder="1" applyAlignment="0">
      <x:alignment horizontal="general" vertical="bottom" wrapText="0"/>
    </x:xf>
    <x:xf numFmtId="164" fontId="4" fillId="0" borderId="7" xfId="20" applyFont="1" applyBorder="1" applyAlignment="0">
      <x:alignment horizontal="general" vertical="bottom" wrapText="0"/>
    </x:xf>
    <x:xf numFmtId="164" fontId="4" fillId="0" borderId="1" xfId="20" applyFont="1" applyBorder="1" applyAlignment="0">
      <x:alignment horizontal="general" vertical="bottom" wrapText="0"/>
    </x:xf>
    <x:xf numFmtId="164" fontId="4" fillId="0" borderId="8" xfId="20" applyFont="1" applyBorder="1" applyAlignment="0">
      <x:alignment horizontal="general" vertical="bottom" wrapText="0"/>
    </x:xf>
    <x:xf numFmtId="164" fontId="4" fillId="0" borderId="9" xfId="20" applyFont="1" applyBorder="1" applyAlignment="0">
      <x:alignment horizontal="general" vertical="bottom" wrapText="0"/>
    </x:xf>
    <x:xf numFmtId="164" fontId="4" fillId="0" borderId="10" xfId="20" applyFont="1" applyBorder="1" applyAlignment="0">
      <x:alignment horizontal="general" vertical="bottom" wrapText="0"/>
    </x:xf>
  </x:cellXfs>
  <x:cellStyles count="7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Normal" xfId="20"/>
  </x:cellStyles>
  <x:dxfs count="11">
    <x:dxf>
      <x:fill>
        <x:patternFill>
          <x:bgColor rgb="FF0F766E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334E68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F4F7FA"/>
        </x:patternFill>
      </x:fill>
    </x:dxf>
    <x:dxf>
      <x:fill>
        <x:patternFill>
          <x:bgColor rgb="FFFFF7D6"/>
        </x:patternFill>
      </x:fill>
    </x:dxf>
    <x:dxf>
      <x:fill>
        <x:patternFill>
          <x:bgColor rgb="FFFDE68A"/>
        </x:patternFill>
      </x:fill>
    </x:dxf>
    <x:dxf>
      <x:fill>
        <x:patternFill>
          <x:bgColor rgb="FF92400E"/>
        </x:patternFill>
      </x:fill>
    </x:dxf>
    <x:dxf>
      <x:font>
        <x:color rgb="FF92400E"/>
      </x:font>
      <x:fill>
        <x:patternFill>
          <x:bgColor rgb="FFFDE68A"/>
        </x:patternFill>
      </x:fill>
    </x:dxf>
    <x:dxf>
      <x:font>
        <x:color rgb="FF166534"/>
      </x:font>
      <x:fill>
        <x:patternFill>
          <x:bgColor rgb="FFBBF7D0"/>
        </x:patternFill>
      </x:fill>
    </x:dxf>
    <x:dxf>
      <x:font>
        <x:color rgb="FF991B1B"/>
      </x:font>
      <x:fill>
        <x:patternFill>
          <x:bgColor rgb="FFFECACA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991B1B"/>
      <x:rgbColor rgb="FF166534"/>
      <x:rgbColor rgb="FF000080"/>
      <x:rgbColor rgb="FF808000"/>
      <x:rgbColor rgb="FF800080"/>
      <x:rgbColor rgb="FF0F766E"/>
      <x:rgbColor rgb="FFF4F7FA"/>
      <x:rgbColor rgb="FF808080"/>
      <x:rgbColor rgb="FF9999FF"/>
      <x:rgbColor rgb="FF993366"/>
      <x:rgbColor rgb="FFFFF7D6"/>
      <x:rgbColor rgb="FFE6FFFB"/>
      <x:rgbColor rgb="FF660066"/>
      <x:rgbColor rgb="FFFF8080"/>
      <x:rgbColor rgb="FF0066CC"/>
      <x:rgbColor rgb="FFD9E2EC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EEF6FF"/>
      <x:rgbColor rgb="FFBBF7D0"/>
      <x:rgbColor rgb="FFFDE68A"/>
      <x:rgbColor rgb="FF99CCFF"/>
      <x:rgbColor rgb="FFFF99CC"/>
      <x:rgbColor rgb="FFCC99FF"/>
      <x:rgbColor rgb="FFFECACA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7324D"/>
      <x:rgbColor rgb="FF339966"/>
      <x:rgbColor rgb="FF003300"/>
      <x:rgbColor rgb="FF333300"/>
      <x:rgbColor rgb="FF92400E"/>
      <x:rgbColor rgb="FF993366"/>
      <x:rgbColor rgb="FF334E68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d5d42a02f241e6" /><Relationship Type="http://schemas.openxmlformats.org/officeDocument/2006/relationships/theme" Target="/xl/theme/theme1.xml" Id="R3cec39d8aca94165" /><Relationship Type="http://schemas.openxmlformats.org/officeDocument/2006/relationships/sharedStrings" Target="/xl/sharedStrings.xml" Id="R1eeebd9f5f0844da" /><Relationship Type="http://schemas.openxmlformats.org/officeDocument/2006/relationships/worksheet" Target="/xl/worksheets/sheet1.xml" Id="Ra064e2eae88a4b19" /><Relationship Type="http://schemas.openxmlformats.org/officeDocument/2006/relationships/worksheet" Target="/xl/worksheets/sheet2.xml" Id="Rd2049e65dc9142bc" /><Relationship Type="http://schemas.openxmlformats.org/officeDocument/2006/relationships/worksheet" Target="/xl/worksheets/sheet3.xml" Id="Rb8e2b680daf042f6" /></Relationships>
</file>

<file path=xl/tables/table1.xml><?xml version="1.0" encoding="utf-8"?>
<x:table xmlns:x="http://schemas.openxmlformats.org/spreadsheetml/2006/main" id="1" name="OwnCatsReviewTable" displayName="OwnCatsReviewTable" ref="A5:M35" headerRowCount="1" totalsRowCount="0" totalsRowShown="0">
  <x:tableColumns count="13">
    <x:tableColumn id="1" name="ID da foto"/>
    <x:tableColumn id="2" name="Arquivo"/>
    <x:tableColumn id="3" name="Data da foto"/>
    <x:tableColumn id="4" name="Split"/>
    <x:tableColumn id="5" name="Grupo de captura"/>
    <x:tableColumn id="6" name="Gato / apelido"/>
    <x:tableColumn id="7" name="Filhote?"/>
    <x:tableColumn id="8" name="Cor principal"/>
    <x:tableColumn id="9" name="Outras cores visíveis"/>
    <x:tableColumn id="10" name="Padrão"/>
    <x:tableColumn id="11" name="Máscara correta?"/>
    <x:tableColumn id="12" name="Status da revisão"/>
    <x:tableColumn id="13" name="Observações"/>
  </x:tableColumns>
</x: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ac9de952e644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26" hidden="0" customWidth="1"/>
    <x:col min="2" max="2" width="47" hidden="0" customWidth="1"/>
    <x:col min="3" max="3" width="19" hidden="0" customWidth="1"/>
    <x:col min="4" max="4" width="15" hidden="0" customWidth="1"/>
    <x:col min="5" max="5" width="20" hidden="0" customWidth="1"/>
    <x:col min="6" max="6" width="21" hidden="0" customWidth="1"/>
    <x:col min="7" max="7" width="12" hidden="0" customWidth="1"/>
    <x:col min="8" max="8" width="16" hidden="0" customWidth="1"/>
    <x:col min="9" max="9" width="24" hidden="0" customWidth="1"/>
    <x:col min="10" max="10" width="16" hidden="0" customWidth="1"/>
    <x:col min="11" max="11" width="18" hidden="0" customWidth="1"/>
    <x:col min="12" max="12" width="19" hidden="0" customWidth="1"/>
    <x:col min="13" max="13" width="30" hidden="0" customWidth="1"/>
  </x:cols>
  <x:sheetData>
    <x:row r="1" ht="30" hidden="0" customHeight="1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hidden="0" customHeight="1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5" ht="32" hidden="0" customHeight="1">
      <x:c r="A5" s="3" t="s">
        <x:v>2</x:v>
      </x:c>
      <x:c r="B5" s="4" t="s">
        <x:v>3</x:v>
      </x:c>
      <x:c r="C5" s="4" t="s">
        <x:v>4</x:v>
      </x:c>
      <x:c r="D5" s="4" t="s">
        <x:v>5</x:v>
      </x:c>
      <x:c r="E5" s="4" t="s">
        <x:v>6</x:v>
      </x:c>
      <x:c r="F5" s="4" t="s">
        <x:v>7</x:v>
      </x:c>
      <x:c r="G5" s="4" t="s">
        <x:v>8</x:v>
      </x:c>
      <x:c r="H5" s="4" t="s">
        <x:v>9</x:v>
      </x:c>
      <x:c r="I5" s="4" t="s">
        <x:v>10</x:v>
      </x:c>
      <x:c r="J5" s="4" t="s">
        <x:v>11</x:v>
      </x:c>
      <x:c r="K5" s="4" t="s">
        <x:v>12</x:v>
      </x:c>
      <x:c r="L5" s="4" t="s">
        <x:v>13</x:v>
      </x:c>
      <x:c r="M5" s="5" t="s">
        <x:v>14</x:v>
      </x:c>
    </x:row>
    <x:row r="6" ht="24" hidden="0" customHeight="1">
      <x:c r="A6" s="6" t="s">
        <x:v>15</x:v>
      </x:c>
      <x:c r="B6" s="7" t="s">
        <x:v>16</x:v>
      </x:c>
      <x:c r="C6" s="8" t="n">
        <x:v>45542.9843287037</x:v>
      </x:c>
      <x:c r="D6" s="9" t="s">
        <x:v>17</x:v>
      </x:c>
      <x:c r="E6" s="9" t="s">
        <x:v>18</x:v>
      </x:c>
      <x:c r="F6" s="10" t="s">
        <x:v>19</x:v>
      </x:c>
      <x:c r="G6" s="10" t="s">
        <x:v>20</x:v>
      </x:c>
      <x:c r="H6" s="10" t="s">
        <x:v>21</x:v>
      </x:c>
      <x:c r="I6" s="11" t="s">
        <x:v>22</x:v>
      </x:c>
      <x:c r="J6" s="11" t="s">
        <x:v>23</x:v>
      </x:c>
      <x:c r="K6" s="11"/>
      <x:c r="L6" s="11" t="str">
        <x:v>Concluído</x:v>
      </x:c>
      <x:c r="M6" s="12"/>
    </x:row>
    <x:row r="7" ht="24" hidden="0" customHeight="1">
      <x:c r="A7" s="13" t="s">
        <x:v>24</x:v>
      </x:c>
      <x:c r="B7" s="14" t="s">
        <x:v>25</x:v>
      </x:c>
      <x:c r="C7" s="15" t="n">
        <x:v>45542.9843518519</x:v>
      </x:c>
      <x:c r="D7" s="16" t="s">
        <x:v>17</x:v>
      </x:c>
      <x:c r="E7" s="16" t="s">
        <x:v>18</x:v>
      </x:c>
      <x:c r="F7" s="10" t="s">
        <x:v>19</x:v>
      </x:c>
      <x:c r="G7" s="17" t="s">
        <x:v>20</x:v>
      </x:c>
      <x:c r="H7" s="17" t="s">
        <x:v>21</x:v>
      </x:c>
      <x:c r="I7" s="11" t="s">
        <x:v>22</x:v>
      </x:c>
      <x:c r="J7" s="18" t="s">
        <x:v>23</x:v>
      </x:c>
      <x:c r="K7" s="18"/>
      <x:c r="L7" s="18" t="str">
        <x:v>Concluído</x:v>
      </x:c>
      <x:c r="M7" s="19"/>
    </x:row>
    <x:row r="8" ht="24" hidden="0" customHeight="1">
      <x:c r="A8" s="13" t="s">
        <x:v>26</x:v>
      </x:c>
      <x:c r="B8" s="14" t="s">
        <x:v>27</x:v>
      </x:c>
      <x:c r="C8" s="15" t="n">
        <x:v>45612.9942361111</x:v>
      </x:c>
      <x:c r="D8" s="16" t="s">
        <x:v>17</x:v>
      </x:c>
      <x:c r="E8" s="16" t="s">
        <x:v>28</x:v>
      </x:c>
      <x:c r="F8" s="17" t="s">
        <x:v>29</x:v>
      </x:c>
      <x:c r="G8" s="17" t="s">
        <x:v>30</x:v>
      </x:c>
      <x:c r="H8" s="17" t="s">
        <x:v>21</x:v>
      </x:c>
      <x:c r="I8" s="18" t="s">
        <x:v>31</x:v>
      </x:c>
      <x:c r="J8" s="18" t="s">
        <x:v>32</x:v>
      </x:c>
      <x:c r="K8" s="18"/>
      <x:c r="L8" s="18" t="str">
        <x:v>Concluído</x:v>
      </x:c>
      <x:c r="M8" s="19"/>
    </x:row>
    <x:row r="9" ht="24" hidden="0" customHeight="1">
      <x:c r="A9" s="13" t="s">
        <x:v>33</x:v>
      </x:c>
      <x:c r="B9" s="14" t="s">
        <x:v>34</x:v>
      </x:c>
      <x:c r="C9" s="15" t="n">
        <x:v>45615.9500347222</x:v>
      </x:c>
      <x:c r="D9" s="16" t="s">
        <x:v>17</x:v>
      </x:c>
      <x:c r="E9" s="16" t="s">
        <x:v>35</x:v>
      </x:c>
      <x:c r="F9" s="17" t="s">
        <x:v>36</x:v>
      </x:c>
      <x:c r="G9" s="17" t="s">
        <x:v>30</x:v>
      </x:c>
      <x:c r="H9" s="17" t="s">
        <x:v>37</x:v>
      </x:c>
      <x:c r="I9" s="18" t="s">
        <x:v>20</x:v>
      </x:c>
      <x:c r="J9" s="18" t="s">
        <x:v>38</x:v>
      </x:c>
      <x:c r="K9" s="18"/>
      <x:c r="L9" s="18" t="str">
        <x:v>Concluído</x:v>
      </x:c>
      <x:c r="M9" s="19"/>
    </x:row>
    <x:row r="10" ht="24" hidden="0" customHeight="1">
      <x:c r="A10" s="13" t="s">
        <x:v>39</x:v>
      </x:c>
      <x:c r="B10" s="14" t="s">
        <x:v>40</x:v>
      </x:c>
      <x:c r="C10" s="15" t="n">
        <x:v>45623.1331944445</x:v>
      </x:c>
      <x:c r="D10" s="16" t="s">
        <x:v>17</x:v>
      </x:c>
      <x:c r="E10" s="16" t="s">
        <x:v>41</x:v>
      </x:c>
      <x:c r="F10" s="17" t="s">
        <x:v>42</x:v>
      </x:c>
      <x:c r="G10" s="17" t="s">
        <x:v>30</x:v>
      </x:c>
      <x:c r="H10" s="17" t="s">
        <x:v>21</x:v>
      </x:c>
      <x:c r="I10" s="18" t="s">
        <x:v>43</x:v>
      </x:c>
      <x:c r="J10" s="18" t="s">
        <x:v>23</x:v>
      </x:c>
      <x:c r="K10" s="18"/>
      <x:c r="L10" s="18" t="str">
        <x:v>Concluído</x:v>
      </x:c>
      <x:c r="M10" s="19"/>
    </x:row>
    <x:row r="11" ht="24" hidden="0" customHeight="1">
      <x:c r="A11" s="13" t="s">
        <x:v>44</x:v>
      </x:c>
      <x:c r="B11" s="14" t="s">
        <x:v>45</x:v>
      </x:c>
      <x:c r="C11" s="15" t="n">
        <x:v>45631.5015393519</x:v>
      </x:c>
      <x:c r="D11" s="16" t="s">
        <x:v>17</x:v>
      </x:c>
      <x:c r="E11" s="16" t="s">
        <x:v>46</x:v>
      </x:c>
      <x:c r="F11" s="20" t="s">
        <x:v>36</x:v>
      </x:c>
      <x:c r="G11" s="17" t="s">
        <x:v>30</x:v>
      </x:c>
      <x:c r="H11" s="17" t="s">
        <x:v>37</x:v>
      </x:c>
      <x:c r="I11" s="18" t="s">
        <x:v>21</x:v>
      </x:c>
      <x:c r="J11" s="18" t="s">
        <x:v>23</x:v>
      </x:c>
      <x:c r="K11" s="18"/>
      <x:c r="L11" s="18" t="str">
        <x:v>Concluído</x:v>
      </x:c>
      <x:c r="M11" s="19"/>
    </x:row>
    <x:row r="12" ht="24" hidden="0" customHeight="1">
      <x:c r="A12" s="13" t="s">
        <x:v>47</x:v>
      </x:c>
      <x:c r="B12" s="14" t="s">
        <x:v>48</x:v>
      </x:c>
      <x:c r="C12" s="15" t="n">
        <x:v>45637.9915046296</x:v>
      </x:c>
      <x:c r="D12" s="16" t="s">
        <x:v>49</x:v>
      </x:c>
      <x:c r="E12" s="16" t="s">
        <x:v>50</x:v>
      </x:c>
      <x:c r="F12" s="20"/>
      <x:c r="G12" s="17"/>
      <x:c r="H12" s="17"/>
      <x:c r="I12" s="18"/>
      <x:c r="J12" s="18"/>
      <x:c r="K12" s="18"/>
      <x:c r="L12" s="18" t="s">
        <x:v>51</x:v>
      </x:c>
      <x:c r="M12" s="19"/>
    </x:row>
    <x:row r="13" ht="24" hidden="0" customHeight="1">
      <x:c r="A13" s="13" t="s">
        <x:v>52</x:v>
      </x:c>
      <x:c r="B13" s="14" t="s">
        <x:v>53</x:v>
      </x:c>
      <x:c r="C13" s="15" t="n">
        <x:v>45637.9936342593</x:v>
      </x:c>
      <x:c r="D13" s="16" t="s">
        <x:v>49</x:v>
      </x:c>
      <x:c r="E13" s="16" t="s">
        <x:v>50</x:v>
      </x:c>
      <x:c r="F13" s="17"/>
      <x:c r="G13" s="17"/>
      <x:c r="H13" s="17"/>
      <x:c r="I13" s="18"/>
      <x:c r="J13" s="18"/>
      <x:c r="K13" s="18"/>
      <x:c r="L13" s="18" t="s">
        <x:v>51</x:v>
      </x:c>
      <x:c r="M13" s="19"/>
    </x:row>
    <x:row r="14" ht="24" hidden="0" customHeight="1">
      <x:c r="A14" s="13" t="s">
        <x:v>54</x:v>
      </x:c>
      <x:c r="B14" s="14" t="s">
        <x:v>55</x:v>
      </x:c>
      <x:c r="C14" s="15" t="n">
        <x:v>45655.1767708333</x:v>
      </x:c>
      <x:c r="D14" s="16" t="s">
        <x:v>17</x:v>
      </x:c>
      <x:c r="E14" s="16" t="s">
        <x:v>56</x:v>
      </x:c>
      <x:c r="F14" s="17" t="s">
        <x:v>57</x:v>
      </x:c>
      <x:c r="G14" s="17" t="s">
        <x:v>20</x:v>
      </x:c>
      <x:c r="H14" s="17" t="s">
        <x:v>37</x:v>
      </x:c>
      <x:c r="I14" s="18" t="s">
        <x:v>21</x:v>
      </x:c>
      <x:c r="J14" s="18" t="s">
        <x:v>23</x:v>
      </x:c>
      <x:c r="K14" s="18"/>
      <x:c r="L14" s="18" t="str">
        <x:v>Concluído</x:v>
      </x:c>
      <x:c r="M14" s="19"/>
    </x:row>
    <x:row r="15" ht="24" hidden="0" customHeight="1">
      <x:c r="A15" s="13" t="s">
        <x:v>58</x:v>
      </x:c>
      <x:c r="B15" s="14" t="s">
        <x:v>59</x:v>
      </x:c>
      <x:c r="C15" s="15" t="n">
        <x:v>45685.0884375</x:v>
      </x:c>
      <x:c r="D15" s="16" t="s">
        <x:v>49</x:v>
      </x:c>
      <x:c r="E15" s="16" t="s">
        <x:v>60</x:v>
      </x:c>
      <x:c r="F15" s="17"/>
      <x:c r="G15" s="17"/>
      <x:c r="H15" s="17"/>
      <x:c r="I15" s="18"/>
      <x:c r="J15" s="18"/>
      <x:c r="K15" s="18"/>
      <x:c r="L15" s="18" t="s">
        <x:v>51</x:v>
      </x:c>
      <x:c r="M15" s="19"/>
    </x:row>
    <x:row r="16" ht="24" hidden="0" customHeight="1">
      <x:c r="A16" s="13" t="s">
        <x:v>61</x:v>
      </x:c>
      <x:c r="B16" s="14" t="s">
        <x:v>62</x:v>
      </x:c>
      <x:c r="C16" s="15" t="n">
        <x:v>45686.1325578704</x:v>
      </x:c>
      <x:c r="D16" s="16" t="s">
        <x:v>49</x:v>
      </x:c>
      <x:c r="E16" s="16" t="s">
        <x:v>63</x:v>
      </x:c>
      <x:c r="F16" s="17"/>
      <x:c r="G16" s="17"/>
      <x:c r="H16" s="17"/>
      <x:c r="I16" s="18"/>
      <x:c r="J16" s="18"/>
      <x:c r="K16" s="18"/>
      <x:c r="L16" s="18" t="s">
        <x:v>51</x:v>
      </x:c>
      <x:c r="M16" s="19"/>
    </x:row>
    <x:row r="17" ht="24" hidden="0" customHeight="1">
      <x:c r="A17" s="13" t="s">
        <x:v>64</x:v>
      </x:c>
      <x:c r="B17" s="14" t="s">
        <x:v>65</x:v>
      </x:c>
      <x:c r="C17" s="15" t="n">
        <x:v>45695.9120717593</x:v>
      </x:c>
      <x:c r="D17" s="16" t="s">
        <x:v>17</x:v>
      </x:c>
      <x:c r="E17" s="16" t="s">
        <x:v>66</x:v>
      </x:c>
      <x:c r="F17" s="17" t="s">
        <x:v>67</x:v>
      </x:c>
      <x:c r="G17" s="17" t="s">
        <x:v>20</x:v>
      </x:c>
      <x:c r="H17" s="17" t="s">
        <x:v>22</x:v>
      </x:c>
      <x:c r="I17" s="18" t="s">
        <x:v>20</x:v>
      </x:c>
      <x:c r="J17" s="18" t="s">
        <x:v>38</x:v>
      </x:c>
      <x:c r="K17" s="18"/>
      <x:c r="L17" s="18" t="str">
        <x:v>Concluído</x:v>
      </x:c>
      <x:c r="M17" s="19"/>
    </x:row>
    <x:row r="18" ht="24" hidden="0" customHeight="1">
      <x:c r="A18" s="13" t="s">
        <x:v>68</x:v>
      </x:c>
      <x:c r="B18" s="14" t="s">
        <x:v>69</x:v>
      </x:c>
      <x:c r="C18" s="15" t="n">
        <x:v>45781.1198263889</x:v>
      </x:c>
      <x:c r="D18" s="16" t="s">
        <x:v>49</x:v>
      </x:c>
      <x:c r="E18" s="16" t="s">
        <x:v>70</x:v>
      </x:c>
      <x:c r="F18" s="17"/>
      <x:c r="G18" s="17"/>
      <x:c r="H18" s="17"/>
      <x:c r="I18" s="18"/>
      <x:c r="J18" s="18"/>
      <x:c r="K18" s="18"/>
      <x:c r="L18" s="18" t="s">
        <x:v>51</x:v>
      </x:c>
      <x:c r="M18" s="19"/>
    </x:row>
    <x:row r="19" ht="24" hidden="0" customHeight="1">
      <x:c r="A19" s="13" t="s">
        <x:v>71</x:v>
      </x:c>
      <x:c r="B19" s="14" t="s">
        <x:v>72</x:v>
      </x:c>
      <x:c r="C19" s="15" t="n">
        <x:v>45781.6919328704</x:v>
      </x:c>
      <x:c r="D19" s="16" t="s">
        <x:v>49</x:v>
      </x:c>
      <x:c r="E19" s="16" t="s">
        <x:v>73</x:v>
      </x:c>
      <x:c r="F19" s="17"/>
      <x:c r="G19" s="17"/>
      <x:c r="H19" s="17"/>
      <x:c r="I19" s="18"/>
      <x:c r="J19" s="18"/>
      <x:c r="K19" s="18"/>
      <x:c r="L19" s="18" t="s">
        <x:v>51</x:v>
      </x:c>
      <x:c r="M19" s="19"/>
    </x:row>
    <x:row r="20" ht="24" hidden="0" customHeight="1">
      <x:c r="A20" s="13" t="s">
        <x:v>74</x:v>
      </x:c>
      <x:c r="B20" s="14" t="s">
        <x:v>75</x:v>
      </x:c>
      <x:c r="C20" s="15" t="n">
        <x:v>45781.6919791667</x:v>
      </x:c>
      <x:c r="D20" s="16" t="s">
        <x:v>49</x:v>
      </x:c>
      <x:c r="E20" s="16" t="s">
        <x:v>73</x:v>
      </x:c>
      <x:c r="F20" s="17"/>
      <x:c r="G20" s="17"/>
      <x:c r="H20" s="17"/>
      <x:c r="I20" s="18"/>
      <x:c r="J20" s="18"/>
      <x:c r="K20" s="18"/>
      <x:c r="L20" s="18" t="s">
        <x:v>51</x:v>
      </x:c>
      <x:c r="M20" s="19"/>
    </x:row>
    <x:row r="21" ht="24" hidden="0" customHeight="1">
      <x:c r="A21" s="13" t="s">
        <x:v>76</x:v>
      </x:c>
      <x:c r="B21" s="14" t="s">
        <x:v>77</x:v>
      </x:c>
      <x:c r="C21" s="15" t="n">
        <x:v>45801.6705902778</x:v>
      </x:c>
      <x:c r="D21" s="16" t="s">
        <x:v>17</x:v>
      </x:c>
      <x:c r="E21" s="16" t="s">
        <x:v>78</x:v>
      </x:c>
      <x:c r="F21" s="17" t="s">
        <x:v>57</x:v>
      </x:c>
      <x:c r="G21" s="17" t="s">
        <x:v>20</x:v>
      </x:c>
      <x:c r="H21" s="17" t="s">
        <x:v>37</x:v>
      </x:c>
      <x:c r="I21" s="18" t="s">
        <x:v>21</x:v>
      </x:c>
      <x:c r="J21" s="18" t="s">
        <x:v>23</x:v>
      </x:c>
      <x:c r="K21" s="18"/>
      <x:c r="L21" s="18" t="str">
        <x:v>Concluído</x:v>
      </x:c>
      <x:c r="M21" s="19"/>
    </x:row>
    <x:row r="22" ht="24" hidden="0" customHeight="1">
      <x:c r="A22" s="13" t="s">
        <x:v>79</x:v>
      </x:c>
      <x:c r="B22" s="14" t="s">
        <x:v>80</x:v>
      </x:c>
      <x:c r="C22" s="15" t="n">
        <x:v>45819.0158449074</x:v>
      </x:c>
      <x:c r="D22" s="16" t="s">
        <x:v>49</x:v>
      </x:c>
      <x:c r="E22" s="16" t="s">
        <x:v>81</x:v>
      </x:c>
      <x:c r="F22" s="17"/>
      <x:c r="G22" s="17"/>
      <x:c r="H22" s="17"/>
      <x:c r="I22" s="18"/>
      <x:c r="J22" s="18"/>
      <x:c r="K22" s="18"/>
      <x:c r="L22" s="18" t="s">
        <x:v>51</x:v>
      </x:c>
      <x:c r="M22" s="19"/>
    </x:row>
    <x:row r="23" ht="24" hidden="0" customHeight="1">
      <x:c r="A23" s="13" t="s">
        <x:v>82</x:v>
      </x:c>
      <x:c r="B23" s="14" t="s">
        <x:v>83</x:v>
      </x:c>
      <x:c r="C23" s="15" t="n">
        <x:v>45966.7503935185</x:v>
      </x:c>
      <x:c r="D23" s="16" t="s">
        <x:v>17</x:v>
      </x:c>
      <x:c r="E23" s="16" t="s">
        <x:v>84</x:v>
      </x:c>
      <x:c r="F23" s="17" t="s">
        <x:v>85</x:v>
      </x:c>
      <x:c r="G23" s="17" t="s">
        <x:v>20</x:v>
      </x:c>
      <x:c r="H23" s="17" t="s">
        <x:v>21</x:v>
      </x:c>
      <x:c r="I23" s="18" t="s">
        <x:v>86</x:v>
      </x:c>
      <x:c r="J23" s="18" t="s">
        <x:v>32</x:v>
      </x:c>
      <x:c r="K23" s="18"/>
      <x:c r="L23" s="18" t="str">
        <x:v>Concluído</x:v>
      </x:c>
      <x:c r="M23" s="19"/>
    </x:row>
    <x:row r="24" ht="24" hidden="0" customHeight="1">
      <x:c r="A24" s="13" t="s">
        <x:v>87</x:v>
      </x:c>
      <x:c r="B24" s="14" t="s">
        <x:v>88</x:v>
      </x:c>
      <x:c r="C24" s="15" t="n">
        <x:v>45970.0771990741</x:v>
      </x:c>
      <x:c r="D24" s="16" t="s">
        <x:v>17</x:v>
      </x:c>
      <x:c r="E24" s="16" t="s">
        <x:v>89</x:v>
      </x:c>
      <x:c r="F24" s="17" t="s">
        <x:v>90</x:v>
      </x:c>
      <x:c r="G24" s="17" t="s">
        <x:v>20</x:v>
      </x:c>
      <x:c r="H24" s="17" t="s">
        <x:v>37</x:v>
      </x:c>
      <x:c r="I24" s="18" t="s">
        <x:v>21</x:v>
      </x:c>
      <x:c r="J24" s="18" t="s">
        <x:v>23</x:v>
      </x:c>
      <x:c r="K24" s="18"/>
      <x:c r="L24" s="18" t="str">
        <x:v>Concluído</x:v>
      </x:c>
      <x:c r="M24" s="19"/>
    </x:row>
    <x:row r="25" ht="24" hidden="0" customHeight="1">
      <x:c r="A25" s="13" t="s">
        <x:v>91</x:v>
      </x:c>
      <x:c r="B25" s="14" t="s">
        <x:v>92</x:v>
      </x:c>
      <x:c r="C25" s="15" t="n">
        <x:v>45987.766724537</x:v>
      </x:c>
      <x:c r="D25" s="16" t="s">
        <x:v>17</x:v>
      </x:c>
      <x:c r="E25" s="16" t="s">
        <x:v>93</x:v>
      </x:c>
      <x:c r="F25" s="17" t="s">
        <x:v>85</x:v>
      </x:c>
      <x:c r="G25" s="17" t="s">
        <x:v>20</x:v>
      </x:c>
      <x:c r="H25" s="17" t="s">
        <x:v>21</x:v>
      </x:c>
      <x:c r="I25" s="18" t="s">
        <x:v>86</x:v>
      </x:c>
      <x:c r="J25" s="18" t="s">
        <x:v>32</x:v>
      </x:c>
      <x:c r="K25" s="18"/>
      <x:c r="L25" s="18" t="str">
        <x:v>Concluído</x:v>
      </x:c>
      <x:c r="M25" s="19"/>
    </x:row>
    <x:row r="26" ht="24" hidden="0" customHeight="1">
      <x:c r="A26" s="13" t="s">
        <x:v>94</x:v>
      </x:c>
      <x:c r="B26" s="14" t="s">
        <x:v>95</x:v>
      </x:c>
      <x:c r="C26" s="15" t="n">
        <x:v>46062.7331365741</x:v>
      </x:c>
      <x:c r="D26" s="16" t="s">
        <x:v>17</x:v>
      </x:c>
      <x:c r="E26" s="16" t="s">
        <x:v>96</x:v>
      </x:c>
      <x:c r="F26" s="17" t="s">
        <x:v>57</x:v>
      </x:c>
      <x:c r="G26" s="17" t="s">
        <x:v>20</x:v>
      </x:c>
      <x:c r="H26" s="17" t="s">
        <x:v>37</x:v>
      </x:c>
      <x:c r="I26" s="18" t="s">
        <x:v>21</x:v>
      </x:c>
      <x:c r="J26" s="18" t="s">
        <x:v>23</x:v>
      </x:c>
      <x:c r="K26" s="18"/>
      <x:c r="L26" s="18" t="str">
        <x:v>Concluído</x:v>
      </x:c>
      <x:c r="M26" s="19"/>
    </x:row>
    <x:row r="27" ht="24" hidden="0" customHeight="1">
      <x:c r="A27" s="13" t="s">
        <x:v>97</x:v>
      </x:c>
      <x:c r="B27" s="14" t="s">
        <x:v>98</x:v>
      </x:c>
      <x:c r="C27" s="15" t="n">
        <x:v>46066.8111226852</x:v>
      </x:c>
      <x:c r="D27" s="16" t="s">
        <x:v>17</x:v>
      </x:c>
      <x:c r="E27" s="16" t="s">
        <x:v>99</x:v>
      </x:c>
      <x:c r="F27" s="17" t="s">
        <x:v>67</x:v>
      </x:c>
      <x:c r="G27" s="17" t="s">
        <x:v>20</x:v>
      </x:c>
      <x:c r="H27" s="17" t="s">
        <x:v>22</x:v>
      </x:c>
      <x:c r="I27" s="18" t="s">
        <x:v>20</x:v>
      </x:c>
      <x:c r="J27" s="18" t="s">
        <x:v>38</x:v>
      </x:c>
      <x:c r="K27" s="18"/>
      <x:c r="L27" s="18" t="str">
        <x:v>Concluído</x:v>
      </x:c>
      <x:c r="M27" s="19"/>
    </x:row>
    <x:row r="28" ht="24" hidden="0" customHeight="1">
      <x:c r="A28" s="13" t="s">
        <x:v>100</x:v>
      </x:c>
      <x:c r="B28" s="14" t="s">
        <x:v>101</x:v>
      </x:c>
      <x:c r="C28" s="15" t="n">
        <x:v>46102.8850925926</x:v>
      </x:c>
      <x:c r="D28" s="16" t="s">
        <x:v>17</x:v>
      </x:c>
      <x:c r="E28" s="16" t="s">
        <x:v>102</x:v>
      </x:c>
      <x:c r="F28" s="17" t="s">
        <x:v>57</x:v>
      </x:c>
      <x:c r="G28" s="17" t="s">
        <x:v>20</x:v>
      </x:c>
      <x:c r="H28" s="17" t="s">
        <x:v>37</x:v>
      </x:c>
      <x:c r="I28" s="18" t="s">
        <x:v>21</x:v>
      </x:c>
      <x:c r="J28" s="18" t="s">
        <x:v>23</x:v>
      </x:c>
      <x:c r="K28" s="18"/>
      <x:c r="L28" s="18" t="str">
        <x:v>Concluído</x:v>
      </x:c>
      <x:c r="M28" s="19"/>
    </x:row>
    <x:row r="29" ht="24" hidden="0" customHeight="1">
      <x:c r="A29" s="13" t="s">
        <x:v>103</x:v>
      </x:c>
      <x:c r="B29" s="14" t="s">
        <x:v>104</x:v>
      </x:c>
      <x:c r="C29" s="15" t="n">
        <x:v>46173.8988425926</x:v>
      </x:c>
      <x:c r="D29" s="16" t="s">
        <x:v>17</x:v>
      </x:c>
      <x:c r="E29" s="16" t="s">
        <x:v>105</x:v>
      </x:c>
      <x:c r="F29" s="17" t="s">
        <x:v>85</x:v>
      </x:c>
      <x:c r="G29" s="17" t="s">
        <x:v>20</x:v>
      </x:c>
      <x:c r="H29" s="17" t="s">
        <x:v>21</x:v>
      </x:c>
      <x:c r="I29" s="18" t="s">
        <x:v>86</x:v>
      </x:c>
      <x:c r="J29" s="18" t="s">
        <x:v>32</x:v>
      </x:c>
      <x:c r="K29" s="18"/>
      <x:c r="L29" s="18" t="str">
        <x:v>Concluído</x:v>
      </x:c>
      <x:c r="M29" s="19"/>
    </x:row>
    <x:row r="30" ht="24" hidden="0" customHeight="1">
      <x:c r="A30" s="13" t="s">
        <x:v>106</x:v>
      </x:c>
      <x:c r="B30" s="14" t="s">
        <x:v>107</x:v>
      </x:c>
      <x:c r="C30" s="15" t="n">
        <x:v>46206.6106944445</x:v>
      </x:c>
      <x:c r="D30" s="16" t="s">
        <x:v>17</x:v>
      </x:c>
      <x:c r="E30" s="16" t="s">
        <x:v>108</x:v>
      </x:c>
      <x:c r="F30" s="17" t="s">
        <x:v>85</x:v>
      </x:c>
      <x:c r="G30" s="17" t="s">
        <x:v>20</x:v>
      </x:c>
      <x:c r="H30" s="17" t="s">
        <x:v>21</x:v>
      </x:c>
      <x:c r="I30" s="18" t="s">
        <x:v>86</x:v>
      </x:c>
      <x:c r="J30" s="18" t="s">
        <x:v>32</x:v>
      </x:c>
      <x:c r="K30" s="18"/>
      <x:c r="L30" s="18" t="str">
        <x:v>Concluído</x:v>
      </x:c>
      <x:c r="M30" s="19"/>
    </x:row>
    <x:row r="31" ht="24" hidden="0" customHeight="1">
      <x:c r="A31" s="13" t="s">
        <x:v>109</x:v>
      </x:c>
      <x:c r="B31" s="14" t="s">
        <x:v>110</x:v>
      </x:c>
      <x:c r="C31" s="15" t="n">
        <x:v>46211.7930902778</x:v>
      </x:c>
      <x:c r="D31" s="16" t="s">
        <x:v>17</x:v>
      </x:c>
      <x:c r="E31" s="16" t="s">
        <x:v>111</x:v>
      </x:c>
      <x:c r="F31" s="17" t="s">
        <x:v>57</x:v>
      </x:c>
      <x:c r="G31" s="17" t="s">
        <x:v>20</x:v>
      </x:c>
      <x:c r="H31" s="17" t="s">
        <x:v>37</x:v>
      </x:c>
      <x:c r="I31" s="18" t="s">
        <x:v>21</x:v>
      </x:c>
      <x:c r="J31" s="18" t="s">
        <x:v>23</x:v>
      </x:c>
      <x:c r="K31" s="18"/>
      <x:c r="L31" s="18" t="str">
        <x:v>Concluído</x:v>
      </x:c>
      <x:c r="M31" s="19"/>
    </x:row>
    <x:row r="32" ht="24" hidden="0" customHeight="1">
      <x:c r="A32" s="13" t="s">
        <x:v>112</x:v>
      </x:c>
      <x:c r="B32" s="14" t="s">
        <x:v>113</x:v>
      </x:c>
      <x:c r="C32" s="15" t="n">
        <x:v>46211.793275463</x:v>
      </x:c>
      <x:c r="D32" s="16" t="s">
        <x:v>17</x:v>
      </x:c>
      <x:c r="E32" s="16" t="s">
        <x:v>111</x:v>
      </x:c>
      <x:c r="F32" s="17" t="s">
        <x:v>85</x:v>
      </x:c>
      <x:c r="G32" s="17" t="s">
        <x:v>20</x:v>
      </x:c>
      <x:c r="H32" s="17" t="s">
        <x:v>21</x:v>
      </x:c>
      <x:c r="I32" s="18" t="s">
        <x:v>86</x:v>
      </x:c>
      <x:c r="J32" s="18" t="s">
        <x:v>32</x:v>
      </x:c>
      <x:c r="K32" s="18"/>
      <x:c r="L32" s="18" t="str">
        <x:v>Concluído</x:v>
      </x:c>
      <x:c r="M32" s="19"/>
    </x:row>
    <x:row r="33" ht="24" hidden="0" customHeight="1">
      <x:c r="A33" s="13" t="s">
        <x:v>114</x:v>
      </x:c>
      <x:c r="B33" s="14" t="s">
        <x:v>115</x:v>
      </x:c>
      <x:c r="C33" s="15" t="n">
        <x:v>46219.0928472222</x:v>
      </x:c>
      <x:c r="D33" s="16" t="s">
        <x:v>17</x:v>
      </x:c>
      <x:c r="E33" s="16" t="s">
        <x:v>116</x:v>
      </x:c>
      <x:c r="F33" s="17" t="s">
        <x:v>85</x:v>
      </x:c>
      <x:c r="G33" s="17" t="s">
        <x:v>20</x:v>
      </x:c>
      <x:c r="H33" s="17" t="s">
        <x:v>21</x:v>
      </x:c>
      <x:c r="I33" s="18" t="s">
        <x:v>86</x:v>
      </x:c>
      <x:c r="J33" s="18" t="s">
        <x:v>32</x:v>
      </x:c>
      <x:c r="K33" s="18"/>
      <x:c r="L33" s="18" t="str">
        <x:v>Concluído</x:v>
      </x:c>
      <x:c r="M33" s="19"/>
    </x:row>
    <x:row r="34" ht="24" hidden="0" customHeight="1">
      <x:c r="A34" s="13" t="s">
        <x:v>117</x:v>
      </x:c>
      <x:c r="B34" s="14" t="s">
        <x:v>118</x:v>
      </x:c>
      <x:c r="C34" s="15" t="n">
        <x:v>46234.6239699074</x:v>
      </x:c>
      <x:c r="D34" s="16" t="s">
        <x:v>49</x:v>
      </x:c>
      <x:c r="E34" s="16" t="s">
        <x:v>119</x:v>
      </x:c>
      <x:c r="F34" s="17"/>
      <x:c r="G34" s="17"/>
      <x:c r="H34" s="17"/>
      <x:c r="I34" s="18"/>
      <x:c r="J34" s="18"/>
      <x:c r="K34" s="18"/>
      <x:c r="L34" s="18" t="s">
        <x:v>51</x:v>
      </x:c>
      <x:c r="M34" s="19"/>
    </x:row>
    <x:row r="35" ht="24" hidden="0" customHeight="1">
      <x:c r="A35" s="21" t="s">
        <x:v>120</x:v>
      </x:c>
      <x:c r="B35" s="22" t="s">
        <x:v>121</x:v>
      </x:c>
      <x:c r="C35" s="23" t="n">
        <x:v>46234.6241666667</x:v>
      </x:c>
      <x:c r="D35" s="24" t="s">
        <x:v>49</x:v>
      </x:c>
      <x:c r="E35" s="24" t="s">
        <x:v>119</x:v>
      </x:c>
      <x:c r="F35" s="25"/>
      <x:c r="G35" s="25"/>
      <x:c r="H35" s="25"/>
      <x:c r="I35" s="26"/>
      <x:c r="J35" s="26"/>
      <x:c r="K35" s="26"/>
      <x:c r="L35" s="26" t="s">
        <x:v>51</x:v>
      </x:c>
      <x:c r="M35" s="27"/>
    </x:row>
  </x:sheetData>
  <x:mergeCells>
    <x:mergeCell ref="A1:M1"/>
    <x:mergeCell ref="A2:M2"/>
  </x:mergeCells>
  <x:conditionalFormatting sqref="L6:L35">
    <x:cfRule type="containsText" dxfId="8" priority="2" aboveAverage="0" percent="0" bottom="0" operator="containsText" text="Pendente" rank="0" equalAverage="0">
      <x:formula>NOT(ISERROR(SEARCH("Pendente",L6)))</x:formula>
    </x:cfRule>
    <x:cfRule type="containsText" dxfId="9" priority="3" aboveAverage="0" percent="0" bottom="0" operator="containsText" text="Concluído" rank="0" equalAverage="0">
      <x:formula>NOT(ISERROR(SEARCH("Concluído",L6)))</x:formula>
    </x:cfRule>
    <x:cfRule type="containsText" dxfId="10" priority="4" aboveAverage="0" percent="0" bottom="0" operator="containsText" text="Excluir" rank="0" equalAverage="0">
      <x:formula>NOT(ISERROR(SEARCH("Excluir",L6)))</x:formula>
    </x:cfRule>
  </x:conditionalFormatting>
  <x:dataValidations count="5">
    <x:dataValidation type="list" errorStyle="stop" operator="between" allowBlank="0" showDropDown="0" showInputMessage="0" showErrorMessage="0" sqref="G6:G35">
      <x:formula1>Listas!$A$2:$A$4</x:formula1>
      <x:formula2>0</x:formula2>
    </x:dataValidation>
    <x:dataValidation type="list" errorStyle="stop" operator="between" allowBlank="0" showDropDown="0" showInputMessage="0" showErrorMessage="0" sqref="H6:H35">
      <x:formula1>Listas!$B$2:$B$8</x:formula1>
      <x:formula2>0</x:formula2>
    </x:dataValidation>
    <x:dataValidation type="list" errorStyle="stop" operator="between" allowBlank="0" showDropDown="0" showInputMessage="0" showErrorMessage="0" sqref="J6:J35">
      <x:formula1>Listas!$C$2:$C$9</x:formula1>
      <x:formula2>0</x:formula2>
    </x:dataValidation>
    <x:dataValidation type="list" errorStyle="stop" operator="between" allowBlank="0" showDropDown="0" showInputMessage="0" showErrorMessage="0" sqref="K6:K35">
      <x:formula1>"Sim,Não,Não sei"</x:formula1>
      <x:formula2>0</x:formula2>
    </x:dataValidation>
    <x:dataValidation type="list" errorStyle="stop" operator="between" allowBlank="0" showDropDown="0" showInputMessage="0" showErrorMessage="0" sqref="L6:L35">
      <x:formula1>Listas!$D$2:$D$4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9ac9de952e6448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8" width="16" hidden="0" customWidth="1"/>
  </x:cols>
  <x:sheetData>
    <x:row r="1" ht="30" hidden="0" customHeight="1">
      <x:c r="A1" s="28" t="s">
        <x:v>122</x:v>
      </x:c>
      <x:c r="B1" s="28"/>
      <x:c r="C1" s="28"/>
      <x:c r="D1" s="28"/>
      <x:c r="E1" s="28"/>
      <x:c r="F1" s="28"/>
      <x:c r="G1" s="28"/>
      <x:c r="H1" s="28"/>
    </x:row>
    <x:row r="3" ht="15" hidden="0">
      <x:c r="A3" s="29" t="s">
        <x:v>123</x:v>
      </x:c>
      <x:c r="B3" s="29"/>
      <x:c r="C3" s="29"/>
      <x:c r="D3" s="29" t="s">
        <x:v>124</x:v>
      </x:c>
      <x:c r="E3" s="29"/>
      <x:c r="F3" s="29"/>
      <x:c r="G3" s="29" t="s">
        <x:v>125</x:v>
      </x:c>
      <x:c r="H3" s="29"/>
    </x:row>
    <x:row r="4" ht="15" hidden="0">
      <x:c r="A4" s="30" t="s">
        <x:v>126</x:v>
      </x:c>
      <x:c r="B4" s="30"/>
      <x:c r="C4" s="30"/>
      <x:c r="D4" s="30" t="s">
        <x:v>127</x:v>
      </x:c>
      <x:c r="E4" s="30"/>
      <x:c r="F4" s="30"/>
      <x:c r="G4" s="30" t="s">
        <x:v>127</x:v>
      </x:c>
      <x:c r="H4" s="30"/>
    </x:row>
    <x:row r="5" ht="17.350000381469727" hidden="0">
      <x:c r="A5" s="31" t="n">
        <x:f aca="0">ROWS('Revisao'!$A$6:$A$35)</x:f>
        <x:v>30</x:v>
      </x:c>
      <x:c r="B5" s="31"/>
      <x:c r="C5" s="31"/>
      <x:c r="D5" s="31" t="n">
        <x:f aca="0">COUNTIF('Revisao'!$D$6:$D$35,"calibration")</x:f>
        <x:v>20</x:v>
      </x:c>
      <x:c r="E5" s="31"/>
      <x:c r="F5" s="31"/>
      <x:c r="G5" s="31" t="n">
        <x:f aca="0">COUNTIF('Revisao'!$D$6:$D$35,"evaluation")</x:f>
        <x:v>10</x:v>
      </x:c>
      <x:c r="H5" s="31"/>
    </x:row>
    <x:row r="8" ht="15" hidden="0">
      <x:c r="A8" s="29" t="s">
        <x:v>128</x:v>
      </x:c>
      <x:c r="B8" s="29"/>
      <x:c r="C8" s="29"/>
      <x:c r="D8" s="29" t="s">
        <x:v>51</x:v>
      </x:c>
      <x:c r="E8" s="29"/>
      <x:c r="F8" s="29"/>
      <x:c r="G8" s="29" t="s">
        <x:v>129</x:v>
      </x:c>
      <x:c r="H8" s="29"/>
    </x:row>
    <x:row r="9" ht="15" hidden="0">
      <x:c r="A9" s="30" t="s">
        <x:v>126</x:v>
      </x:c>
      <x:c r="B9" s="30"/>
      <x:c r="C9" s="30"/>
      <x:c r="D9" s="30" t="s">
        <x:v>123</x:v>
      </x:c>
      <x:c r="E9" s="30"/>
      <x:c r="F9" s="30"/>
      <x:c r="G9" s="30" t="s">
        <x:v>123</x:v>
      </x:c>
      <x:c r="H9" s="30"/>
    </x:row>
    <x:row r="10" ht="17.350000381469727" hidden="0">
      <x:c r="A10" s="32" t="n">
        <x:f aca="0">ROWS('Revisao'!$A$6:$A$35)</x:f>
        <x:v>30</x:v>
      </x:c>
      <x:c r="B10" s="32"/>
      <x:c r="C10" s="32"/>
      <x:c r="D10" s="32" t="n">
        <x:f aca="0">COUNTIF('Revisao'!$L$6:$L$35,"Pendente")</x:f>
        <x:v>10</x:v>
      </x:c>
      <x:c r="E10" s="32"/>
      <x:c r="F10" s="32"/>
      <x:c r="G10" s="32" t="n">
        <x:f aca="0">COUNTIF('Revisao'!$L$6:$L$35,"Concluído")</x:f>
        <x:v>20</x:v>
      </x:c>
      <x:c r="H10" s="32"/>
    </x:row>
    <x:row r="13" ht="15" hidden="0" customHeight="1">
      <x:c r="A13" s="33" t="s">
        <x:v>130</x:v>
      </x:c>
      <x:c r="B13" s="33"/>
      <x:c r="C13" s="33"/>
      <x:c r="D13" s="33"/>
      <x:c r="E13" s="33"/>
      <x:c r="F13" s="33"/>
      <x:c r="G13" s="33"/>
      <x:c r="H13" s="33"/>
    </x:row>
    <x:row r="14" ht="15" hidden="0">
      <x:c r="A14" s="33"/>
      <x:c r="B14" s="33"/>
      <x:c r="C14" s="33"/>
      <x:c r="D14" s="33"/>
      <x:c r="E14" s="33"/>
      <x:c r="F14" s="33"/>
      <x:c r="G14" s="33"/>
      <x:c r="H14" s="33"/>
    </x:row>
  </x:sheetData>
  <x:mergeCells>
    <x:mergeCell ref="A1:H1"/>
    <x:mergeCell ref="A13:H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4" width="18" hidden="0" customWidth="1"/>
  </x:cols>
  <x:sheetData>
    <x:row r="1" ht="15" hidden="0">
      <x:c r="A1" s="34" t="s">
        <x:v>131</x:v>
      </x:c>
      <x:c r="B1" s="35" t="s">
        <x:v>132</x:v>
      </x:c>
      <x:c r="C1" s="35" t="s">
        <x:v>11</x:v>
      </x:c>
      <x:c r="D1" s="36" t="s">
        <x:v>133</x:v>
      </x:c>
    </x:row>
    <x:row r="2" ht="15" hidden="0">
      <x:c r="A2" s="37" t="s">
        <x:v>30</x:v>
      </x:c>
      <x:c r="B2" s="38" t="s">
        <x:v>22</x:v>
      </x:c>
      <x:c r="C2" s="38" t="s">
        <x:v>38</x:v>
      </x:c>
      <x:c r="D2" s="39" t="s">
        <x:v>51</x:v>
      </x:c>
    </x:row>
    <x:row r="3" ht="15" hidden="0">
      <x:c r="A3" s="37" t="s">
        <x:v>20</x:v>
      </x:c>
      <x:c r="B3" s="38" t="s">
        <x:v>21</x:v>
      </x:c>
      <x:c r="C3" s="38" t="s">
        <x:v>23</x:v>
      </x:c>
      <x:c r="D3" s="39" t="s">
        <x:v>134</x:v>
      </x:c>
    </x:row>
    <x:row r="4" ht="15" hidden="0">
      <x:c r="A4" s="37" t="s">
        <x:v>135</x:v>
      </x:c>
      <x:c r="B4" s="38" t="s">
        <x:v>43</x:v>
      </x:c>
      <x:c r="C4" s="38" t="s">
        <x:v>32</x:v>
      </x:c>
      <x:c r="D4" s="39" t="s">
        <x:v>136</x:v>
      </x:c>
    </x:row>
    <x:row r="5" ht="15" hidden="0">
      <x:c r="A5" s="37"/>
      <x:c r="B5" s="38" t="s">
        <x:v>37</x:v>
      </x:c>
      <x:c r="C5" s="38" t="s">
        <x:v>137</x:v>
      </x:c>
      <x:c r="D5" s="39"/>
    </x:row>
    <x:row r="6" ht="15" hidden="0">
      <x:c r="A6" s="37"/>
      <x:c r="B6" s="38" t="s">
        <x:v>138</x:v>
      </x:c>
      <x:c r="C6" s="38" t="s">
        <x:v>139</x:v>
      </x:c>
      <x:c r="D6" s="39"/>
    </x:row>
    <x:row r="7" ht="15" hidden="0">
      <x:c r="A7" s="37"/>
      <x:c r="B7" s="38" t="s">
        <x:v>140</x:v>
      </x:c>
      <x:c r="C7" s="38" t="s">
        <x:v>141</x:v>
      </x:c>
      <x:c r="D7" s="39"/>
    </x:row>
    <x:row r="8" ht="15" hidden="0">
      <x:c r="A8" s="37"/>
      <x:c r="B8" s="38" t="s">
        <x:v>142</x:v>
      </x:c>
      <x:c r="C8" s="38" t="s">
        <x:v>143</x:v>
      </x:c>
      <x:c r="D8" s="39"/>
    </x:row>
    <x:row r="9" ht="15" hidden="0">
      <x:c r="A9" s="40"/>
      <x:c r="B9" s="41"/>
      <x:c r="C9" s="41" t="s">
        <x:v>142</x:v>
      </x:c>
      <x:c r="D9" s="42"/>
    </x:row>
  </x:sheetData>
  <x:pageMargins left="0.7" right="0.7" top="0.75" bottom="0.75" header="0.3" footer="0.3"/>
</x:worksheet>
</file>